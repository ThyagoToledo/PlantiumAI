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Materiais" sheetId="1" r:id="rId5"/>
    <sheet state="hidden" name="Página de Calculo" sheetId="2" r:id="rId6"/>
    <sheet state="visible" name="Lista de Custos" sheetId="3" r:id="rId7"/>
  </sheets>
  <definedNames/>
  <calcPr/>
</workbook>
</file>

<file path=xl/sharedStrings.xml><?xml version="1.0" encoding="utf-8"?>
<sst xmlns="http://schemas.openxmlformats.org/spreadsheetml/2006/main" count="171" uniqueCount="168">
  <si>
    <t>🌱  PROJETO PlantiumAI — Lista de Materiais</t>
  </si>
  <si>
    <t>Edital Desafio AgroStartup 2026 · Sistema Inteligente de Monitoramento para Micro Estufas Verticais em Containers</t>
  </si>
  <si>
    <t>#</t>
  </si>
  <si>
    <t>Componente</t>
  </si>
  <si>
    <t>Finalidade</t>
  </si>
  <si>
    <t>Modelo Referência</t>
  </si>
  <si>
    <t>Qtd</t>
  </si>
  <si>
    <t>Preço Unit. (R$)</t>
  </si>
  <si>
    <t>Total (R$)</t>
  </si>
  <si>
    <t>Observações</t>
  </si>
  <si>
    <t xml:space="preserve">  MICROCONTROLADORES E PROCESSAMENTO</t>
  </si>
  <si>
    <t>ESP32 (Wemos D1)</t>
  </si>
  <si>
    <t>Leitura dos sensores + Wi-Fi / MQTT</t>
  </si>
  <si>
    <t>Wemos D1 ESP32</t>
  </si>
  <si>
    <t>2 unidades para redundância e múltiplos nós de sensores</t>
  </si>
  <si>
    <t>Raspberry Pi 3 Model B</t>
  </si>
  <si>
    <t>Hub local + controle câmera + envio nuvem</t>
  </si>
  <si>
    <t>RPi 3B Quad-core 1.2GHz</t>
  </si>
  <si>
    <t>Processamento local de imagens e hub de comunicação. Fonte 5V/3A inclusa.</t>
  </si>
  <si>
    <t xml:space="preserve">  SENSORES</t>
  </si>
  <si>
    <t>Sensor Umidade + Temp. Ar</t>
  </si>
  <si>
    <t>Monitorar clima interno do container</t>
  </si>
  <si>
    <t>DHT22/11</t>
  </si>
  <si>
    <t>DHT22 recomendado sobre DHT11: maior precisão e estabilidade de longo prazo</t>
  </si>
  <si>
    <t>Sensor Umidade do Solo</t>
  </si>
  <si>
    <t>Medir umidade do substrato das mudas</t>
  </si>
  <si>
    <t>Capacitivo v1.2</t>
  </si>
  <si>
    <t>Evitar modelo resistivo FC-28: enferruja em solo úmido</t>
  </si>
  <si>
    <t>Sensor Temperatura do Solo</t>
  </si>
  <si>
    <t>Temperatura do substrato (à prova d'água)</t>
  </si>
  <si>
    <t>DS18B20</t>
  </si>
  <si>
    <t>Encapsulamento em aço inox, à prova d'água — ideal para solo</t>
  </si>
  <si>
    <t>Sensor de Luminosidade</t>
  </si>
  <si>
    <t>Medir lux disponível para as plantas</t>
  </si>
  <si>
    <t>BH1750 (I2C)</t>
  </si>
  <si>
    <t>Protocolo I2C, faixa 1–65535 lux</t>
  </si>
  <si>
    <t xml:space="preserve">  VISÃO COMPUTACIONAL</t>
  </si>
  <si>
    <t>Câmera USB IP67 à prova d'água</t>
  </si>
  <si>
    <t>Captura de imagens para análise da IA</t>
  </si>
  <si>
    <t>USB 2.0 IP67</t>
  </si>
  <si>
    <t>Resistência a umidade e condensação — fundamental para ambiente de estufa</t>
  </si>
  <si>
    <t xml:space="preserve">  ATUADORES E CONTROLE</t>
  </si>
  <si>
    <t>Módulo Relé 4 canais</t>
  </si>
  <si>
    <t>Acionar irrigação, ventilador, iluminação</t>
  </si>
  <si>
    <t>Relé 5V 4CH</t>
  </si>
  <si>
    <t>NF = Normalmente Fechada: fecha sem energia (segurança em falha)</t>
  </si>
  <si>
    <t>Válvula Solenoide 12V ½"</t>
  </si>
  <si>
    <t>Irrigação automatizada (NF)</t>
  </si>
  <si>
    <t>Plástico 12V ½"</t>
  </si>
  <si>
    <t>Tipo NF: fecha sem energia — segurança em caso de falha elétrica</t>
  </si>
  <si>
    <t>Sensor de Fluxo de Água</t>
  </si>
  <si>
    <t>Confirmar se irrigação ocorreu</t>
  </si>
  <si>
    <t>YF-S201</t>
  </si>
  <si>
    <t>Cruza dado com sensor de umidade do solo para confirmar irrigação efetiva</t>
  </si>
  <si>
    <t xml:space="preserve">  INFRAESTRUTURA FÍSICA</t>
  </si>
  <si>
    <t>Cartão SD 32GB</t>
  </si>
  <si>
    <t>Armazenamento local de imagens e logs</t>
  </si>
  <si>
    <t>Classe 10 / A1</t>
  </si>
  <si>
    <t>Armazenamento offline: imagens ficam salvas localmente se houver perda de conexão</t>
  </si>
  <si>
    <t>Fonte 5V 3A + cabos USB</t>
  </si>
  <si>
    <t>Alimentação do Raspberry Pi e ESP32</t>
  </si>
  <si>
    <t>Fonte chaveada 5V/3A</t>
  </si>
  <si>
    <t>Fonte dedicada evita instabilidade nos sensores por variação de tensão</t>
  </si>
  <si>
    <t>Cabos, jumpers, resistores</t>
  </si>
  <si>
    <t>Fiação, montagem e proteção dos circuitos</t>
  </si>
  <si>
    <t>Kit eletrônica básica</t>
  </si>
  <si>
    <t>Resistores pull-up para I2C, proteção de GPIO, jumpers macho-macho e fêmea</t>
  </si>
  <si>
    <t>Roteador 4G LTE</t>
  </si>
  <si>
    <t>Conectividade remota do container</t>
  </si>
  <si>
    <t>Roteador 4G industrial</t>
  </si>
  <si>
    <t>Starlink como alternativa se o local não tiver cobertura 4G (custo muito maior)</t>
  </si>
  <si>
    <t>MDF</t>
  </si>
  <si>
    <t>Estrutura do protótipo</t>
  </si>
  <si>
    <t>Qualquer um serve</t>
  </si>
  <si>
    <t>Boa sorte</t>
  </si>
  <si>
    <t>TOTAL HARDWARE (1 unidade piloto)</t>
  </si>
  <si>
    <t>Piloto mínimo viável — 1 container</t>
  </si>
  <si>
    <t>⚠️  STARLINK (alternativa): antena R$ 2.800 (único) + R$ 250/mês. Usar apenas se local não tiver cobertura 4G.</t>
  </si>
  <si>
    <t>🌱  PROJETO PlantiumAI — Lista de Custos</t>
  </si>
  <si>
    <t>Orçamento máximo: R$ 60.000 · Meta de execução: R$ 52.940 · Margem de segurança: R$ 7.060</t>
  </si>
  <si>
    <t>Item de Custo</t>
  </si>
  <si>
    <t>Descrição</t>
  </si>
  <si>
    <t>Custo Unit. (R$)</t>
  </si>
  <si>
    <t>Qtd / Período</t>
  </si>
  <si>
    <t xml:space="preserve">  HARDWARE — INVESTIMENTO ÚNICO (por container piloto)</t>
  </si>
  <si>
    <t>Kit Microcontroladores</t>
  </si>
  <si>
    <t>ESP32 ×2 + Raspberry Pi 3B</t>
  </si>
  <si>
    <t>Núcleo do sistema embarcado</t>
  </si>
  <si>
    <t>Kit Sensores</t>
  </si>
  <si>
    <t>DHT22, Capacitivo, DS18B20, BH1750</t>
  </si>
  <si>
    <t>4 tipos, 2 unidades cada (redundância)</t>
  </si>
  <si>
    <t>Câmera IP67</t>
  </si>
  <si>
    <t>Câmera USB à prova d'água</t>
  </si>
  <si>
    <t>Visão computacional da IA</t>
  </si>
  <si>
    <t>Kit Atuadores</t>
  </si>
  <si>
    <t>Relé 4CH + Válvula + Fluxo YF-S201</t>
  </si>
  <si>
    <t>Controle automatizado de irrigação</t>
  </si>
  <si>
    <t>Infraestrutura física</t>
  </si>
  <si>
    <t>SD, fonte, cabos, roteador 4G</t>
  </si>
  <si>
    <t>Conectividade e alimentação elétrica</t>
  </si>
  <si>
    <t>Subtotal Hardware (1 container)</t>
  </si>
  <si>
    <t xml:space="preserve">  DESENVOLVIMENTO DE SOFTWARE — INVESTIMENTO ÚNICO</t>
  </si>
  <si>
    <t>Backend API + banco de dados</t>
  </si>
  <si>
    <t>FastAPI, PostgreSQL/TimescaleDB, MQTT</t>
  </si>
  <si>
    <t>~150h × R$55/h · recebimento de dados dos sensores</t>
  </si>
  <si>
    <t>Dashboard web (React)</t>
  </si>
  <si>
    <t>Interface de monitoramento em tempo real</t>
  </si>
  <si>
    <t>~80h × R$55/h · gráficos, alertas e histórico</t>
  </si>
  <si>
    <t>App mobile (PWA)</t>
  </si>
  <si>
    <t>Notificações e visualização móvel</t>
  </si>
  <si>
    <t>~60h × R$55/h · responsivo para agrônomos em campo</t>
  </si>
  <si>
    <t>Firmware ESP32 (MQTT)</t>
  </si>
  <si>
    <t>Leitura e envio dos sensores</t>
  </si>
  <si>
    <t>~40h × R$55/h</t>
  </si>
  <si>
    <t>Agente IA (Claude API)</t>
  </si>
  <si>
    <t>LangGraph + análise multimodal</t>
  </si>
  <si>
    <t>~70h × R$55/h · coração do projeto</t>
  </si>
  <si>
    <t>Testes, CI/CD, documentação</t>
  </si>
  <si>
    <t>Qualidade e entrega</t>
  </si>
  <si>
    <t>~30h × R$55/h</t>
  </si>
  <si>
    <t>Subtotal Desenvolvimento</t>
  </si>
  <si>
    <t xml:space="preserve">  CUSTOS OPERACIONAIS MENSAIS (a partir do mês 4)</t>
  </si>
  <si>
    <t>VPS / Servidor</t>
  </si>
  <si>
    <t>Railway ou Hetzner — backend + DB</t>
  </si>
  <si>
    <t>Inclui banco PostgreSQL e armazenamento básico</t>
  </si>
  <si>
    <t>Claude API</t>
  </si>
  <si>
    <t>Haiku 4.5 (alertas) + Sonnet (análise)</t>
  </si>
  <si>
    <t>Estimativa com prompt caching ativado</t>
  </si>
  <si>
    <t>Armazenamento imagens</t>
  </si>
  <si>
    <t>Backblaze B2 / S3 (~50GB/mês)</t>
  </si>
  <si>
    <t>Imagens das câmeras de todos os containers</t>
  </si>
  <si>
    <t>SIM card 4G</t>
  </si>
  <si>
    <t>Conectividade do container em campo</t>
  </si>
  <si>
    <t>Por container — substituível por Starlink</t>
  </si>
  <si>
    <t>Subtotal Operacional / mês</t>
  </si>
  <si>
    <t xml:space="preserve">  MARKETING E DIVULGAÇÃO — INVESTIMENTO ÚNICO</t>
  </si>
  <si>
    <t>Identidade visual + landing page</t>
  </si>
  <si>
    <t>Logo, paleta, copywriting</t>
  </si>
  <si>
    <t>Presença digital profissional</t>
  </si>
  <si>
    <t>Vídeo demonstrativo</t>
  </si>
  <si>
    <t>Gravação na estufa piloto real</t>
  </si>
  <si>
    <t>Principal material de vendas</t>
  </si>
  <si>
    <t>Google/Meta Ads</t>
  </si>
  <si>
    <t>Campanha agro — 4 meses</t>
  </si>
  <si>
    <t>R$ 500/mês por 4 meses</t>
  </si>
  <si>
    <t>Evento agro / feira regional</t>
  </si>
  <si>
    <t>1 evento presencial</t>
  </si>
  <si>
    <t>Goiás / região Centro-Oeste</t>
  </si>
  <si>
    <t>Material impresso</t>
  </si>
  <si>
    <t>Folder e cartão — 300 unidades</t>
  </si>
  <si>
    <t>Subtotal Marketing</t>
  </si>
  <si>
    <t xml:space="preserve">  LEGAL E ADMINISTRATIVO — INVESTIMENTO ÚNICO</t>
  </si>
  <si>
    <t>Abertura empresa + contador</t>
  </si>
  <si>
    <t>MEI ou LTDA + contabilidade ano 1</t>
  </si>
  <si>
    <t>Contrato SaaS + NDA</t>
  </si>
  <si>
    <t>Revisão jurídica dos contratos</t>
  </si>
  <si>
    <t>Proteção com clientes e parceiros</t>
  </si>
  <si>
    <t>Subtotal Legal / Admin</t>
  </si>
  <si>
    <t xml:space="preserve">  RESUMO FINANCEIRO</t>
  </si>
  <si>
    <t>Total Hardware</t>
  </si>
  <si>
    <t>Total Desenvolvimento</t>
  </si>
  <si>
    <t>Total Operacional (12 meses)</t>
  </si>
  <si>
    <t>Total Marketing</t>
  </si>
  <si>
    <t>Total Legal / Admin</t>
  </si>
  <si>
    <t>Contingência (10%)</t>
  </si>
  <si>
    <t>TOTAL GERAL ESTIMADO</t>
  </si>
  <si>
    <t>Limite: R$ 60.000 · Meta: R$ 52.940</t>
  </si>
  <si>
    <t>Margem de segurança (R$ 60k - 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</si>
</sst>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55555"/>
      <name val="Arial"/>
    </font>
    <font>
      <b/>
      <sz val="10.0"/>
      <color rgb="FFFFFFFF"/>
      <name val="Arial"/>
    </font>
    <font>
      <color theme="1"/>
      <name val="Calibri"/>
      <scheme val="minor"/>
    </font>
    <font>
      <b/>
      <sz val="10.0"/>
      <color rgb="FF1A473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9.0"/>
      <color rgb="FF555555"/>
      <name val="Arial"/>
    </font>
    <font>
      <sz val="11.0"/>
      <color theme="1"/>
      <name val="Arial"/>
    </font>
    <font>
      <b/>
      <sz val="11.0"/>
      <color rgb="FFC8F0D8"/>
      <name val="Arial"/>
    </font>
    <font>
      <b/>
      <sz val="12.0"/>
      <color rgb="FFC8F0D8"/>
      <name val="Arial"/>
    </font>
    <font>
      <i/>
      <sz val="9.0"/>
      <color rgb="FFC8F0D8"/>
      <name val="Arial"/>
    </font>
    <font>
      <sz val="10.0"/>
      <color rgb="FF856404"/>
      <name val="Arial"/>
    </font>
    <font>
      <b/>
      <sz val="11.0"/>
      <color rgb="FF1A4731"/>
      <name val="Arial"/>
    </font>
    <font>
      <sz val="11.0"/>
      <color theme="1"/>
      <name val="Calibri"/>
    </font>
    <font>
      <sz val="10.0"/>
      <color theme="1"/>
      <name val="Arial"/>
    </font>
    <font>
      <b/>
      <sz val="13.0"/>
      <color rgb="FFC8F0D8"/>
      <name val="Arial"/>
    </font>
    <font>
      <b/>
      <sz val="10.0"/>
      <color rgb="FFC8F0D8"/>
      <name val="Arial"/>
    </font>
    <font>
      <sz val="10.0"/>
      <color rgb="FF1A4F8A"/>
      <name val="Arial"/>
    </font>
    <font>
      <b/>
      <sz val="11.0"/>
      <color rgb="FF1A4F8A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4731"/>
        <bgColor rgb="FF1A4731"/>
      </patternFill>
    </fill>
    <fill>
      <patternFill patternType="solid">
        <fgColor rgb="FF2E7D52"/>
        <bgColor rgb="FF2E7D52"/>
      </patternFill>
    </fill>
    <fill>
      <patternFill patternType="solid">
        <fgColor rgb="FFD6EAD8"/>
        <bgColor rgb="FFD6EAD8"/>
      </patternFill>
    </fill>
    <fill>
      <patternFill patternType="solid">
        <fgColor rgb="FFFFFFFF"/>
        <bgColor rgb="FFFFFFFF"/>
      </patternFill>
    </fill>
    <fill>
      <patternFill patternType="solid">
        <fgColor rgb="FFF4FAF6"/>
        <bgColor rgb="FFF4FAF6"/>
      </patternFill>
    </fill>
    <fill>
      <patternFill patternType="solid">
        <fgColor rgb="FF0D2E1A"/>
        <bgColor rgb="FF0D2E1A"/>
      </patternFill>
    </fill>
    <fill>
      <patternFill patternType="solid">
        <fgColor rgb="FFFFF3CD"/>
        <bgColor rgb="FFFFF3CD"/>
      </patternFill>
    </fill>
    <fill>
      <patternFill patternType="solid">
        <fgColor rgb="FFC8F0D8"/>
        <bgColor rgb="FFC8F0D8"/>
      </patternFill>
    </fill>
    <fill>
      <patternFill patternType="solid">
        <fgColor rgb="FFA8D5BC"/>
        <bgColor rgb="FFA8D5BC"/>
      </patternFill>
    </fill>
    <fill>
      <patternFill patternType="solid">
        <fgColor rgb="FFE8F4FD"/>
        <bgColor rgb="FFE8F4FD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E8F4FD"/>
      </top>
      <bottom style="thin">
        <color rgb="FFE8F4FD"/>
      </bottom>
    </border>
    <border>
      <left style="medium">
        <color rgb="FF1A4731"/>
      </left>
      <top style="medium">
        <color rgb="FF1A4731"/>
      </top>
      <bottom style="medium">
        <color rgb="FF1A4731"/>
      </bottom>
    </border>
    <border>
      <top style="medium">
        <color rgb="FF1A4731"/>
      </top>
      <bottom style="medium">
        <color rgb="FF1A4731"/>
      </bottom>
    </border>
    <border>
      <right style="medium">
        <color rgb="FF1A4731"/>
      </right>
      <top style="medium">
        <color rgb="FF1A4731"/>
      </top>
      <bottom style="medium">
        <color rgb="FF1A4731"/>
      </bottom>
    </border>
    <border>
      <left style="medium">
        <color rgb="FF1A4731"/>
      </left>
      <right style="medium">
        <color rgb="FF1A4731"/>
      </right>
      <top style="medium">
        <color rgb="FF1A4731"/>
      </top>
      <bottom style="medium">
        <color rgb="FF1A4731"/>
      </bottom>
    </border>
    <border>
      <right style="thin">
        <color rgb="FFCCCCCC"/>
      </right>
      <top/>
      <bottom/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6" fillId="3" fontId="5" numFmtId="0" xfId="0" applyBorder="1" applyFont="1"/>
    <xf borderId="1" fillId="4" fontId="6" numFmtId="0" xfId="0" applyAlignment="1" applyBorder="1" applyFill="1" applyFont="1">
      <alignment horizontal="left" shrinkToFit="0" vertical="center" wrapText="0"/>
    </xf>
    <xf borderId="0" fillId="4" fontId="5" numFmtId="0" xfId="0" applyFont="1"/>
    <xf borderId="4" fillId="5" fontId="7" numFmtId="0" xfId="0" applyAlignment="1" applyBorder="1" applyFill="1" applyFont="1">
      <alignment horizontal="center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0"/>
    </xf>
    <xf borderId="4" fillId="5" fontId="7" numFmtId="164" xfId="0" applyAlignment="1" applyBorder="1" applyFont="1" applyNumberFormat="1">
      <alignment horizontal="right" shrinkToFit="0" vertical="center" wrapText="0"/>
    </xf>
    <xf borderId="4" fillId="5" fontId="7" numFmtId="164" xfId="0" applyAlignment="1" applyBorder="1" applyFont="1" applyNumberFormat="1">
      <alignment horizontal="right" shrinkToFit="0" vertical="bottom" wrapText="0"/>
    </xf>
    <xf borderId="4" fillId="5" fontId="9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/>
    </xf>
    <xf borderId="4" fillId="6" fontId="7" numFmtId="0" xfId="0" applyAlignment="1" applyBorder="1" applyFill="1" applyFont="1">
      <alignment horizontal="center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0"/>
    </xf>
    <xf borderId="4" fillId="6" fontId="7" numFmtId="164" xfId="0" applyAlignment="1" applyBorder="1" applyFont="1" applyNumberFormat="1">
      <alignment horizontal="right" shrinkToFit="0" vertical="center" wrapText="0"/>
    </xf>
    <xf borderId="4" fillId="6" fontId="7" numFmtId="164" xfId="0" applyAlignment="1" applyBorder="1" applyFont="1" applyNumberFormat="1">
      <alignment horizontal="right" shrinkToFit="0" vertical="bottom" wrapText="0"/>
    </xf>
    <xf borderId="4" fillId="6" fontId="9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readingOrder="0" shrinkToFit="0" vertical="center" wrapText="0"/>
    </xf>
    <xf borderId="4" fillId="5" fontId="10" numFmtId="164" xfId="0" applyAlignment="1" applyBorder="1" applyFont="1" applyNumberFormat="1">
      <alignment horizontal="right" shrinkToFit="0" vertical="bottom" wrapText="0"/>
    </xf>
    <xf borderId="4" fillId="6" fontId="10" numFmtId="164" xfId="0" applyAlignment="1" applyBorder="1" applyFont="1" applyNumberFormat="1">
      <alignment horizontal="right" shrinkToFit="0" vertical="bottom" wrapText="0"/>
    </xf>
    <xf borderId="7" fillId="7" fontId="11" numFmtId="0" xfId="0" applyAlignment="1" applyBorder="1" applyFill="1" applyFont="1">
      <alignment horizontal="right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7" fontId="12" numFmtId="164" xfId="0" applyAlignment="1" applyBorder="1" applyFont="1" applyNumberFormat="1">
      <alignment horizontal="right" shrinkToFit="0" vertical="center" wrapText="0"/>
    </xf>
    <xf borderId="10" fillId="7" fontId="13" numFmtId="0" xfId="0" applyAlignment="1" applyBorder="1" applyFont="1">
      <alignment horizontal="left" shrinkToFit="0" vertical="center" wrapText="0"/>
    </xf>
    <xf borderId="1" fillId="8" fontId="14" numFmtId="0" xfId="0" applyAlignment="1" applyBorder="1" applyFill="1" applyFont="1">
      <alignment horizontal="left" shrinkToFit="0" vertical="center" wrapText="0"/>
    </xf>
    <xf borderId="0" fillId="8" fontId="5" numFmtId="0" xfId="0" applyFont="1"/>
    <xf borderId="0" fillId="0" fontId="5" numFmtId="164" xfId="0" applyAlignment="1" applyFont="1" applyNumberFormat="1">
      <alignment readingOrder="0"/>
    </xf>
    <xf borderId="1" fillId="9" fontId="6" numFmtId="0" xfId="0" applyAlignment="1" applyBorder="1" applyFill="1" applyFont="1">
      <alignment horizontal="right" shrinkToFit="0" vertical="center" wrapText="0"/>
    </xf>
    <xf borderId="11" fillId="0" fontId="2" numFmtId="0" xfId="0" applyBorder="1" applyFont="1"/>
    <xf borderId="4" fillId="9" fontId="15" numFmtId="164" xfId="0" applyAlignment="1" applyBorder="1" applyFont="1" applyNumberFormat="1">
      <alignment horizontal="right" shrinkToFit="0" vertical="bottom" wrapText="0"/>
    </xf>
    <xf borderId="4" fillId="9" fontId="16" numFmtId="0" xfId="0" applyAlignment="1" applyBorder="1" applyFont="1">
      <alignment shrinkToFit="0" vertical="bottom" wrapText="0"/>
    </xf>
    <xf borderId="1" fillId="10" fontId="15" numFmtId="0" xfId="0" applyAlignment="1" applyBorder="1" applyFill="1" applyFont="1">
      <alignment horizontal="left" shrinkToFit="0" vertical="center" wrapText="0"/>
    </xf>
    <xf borderId="5" fillId="0" fontId="17" numFmtId="0" xfId="0" applyAlignment="1" applyBorder="1" applyFont="1">
      <alignment horizontal="right" shrinkToFit="0" vertical="center" wrapText="0"/>
    </xf>
    <xf borderId="12" fillId="0" fontId="2" numFmtId="0" xfId="0" applyBorder="1" applyFont="1"/>
    <xf borderId="13" fillId="0" fontId="2" numFmtId="0" xfId="0" applyBorder="1" applyFont="1"/>
    <xf borderId="4" fillId="0" fontId="17" numFmtId="164" xfId="0" applyAlignment="1" applyBorder="1" applyFont="1" applyNumberFormat="1">
      <alignment horizontal="right" shrinkToFit="0" vertical="bottom" wrapText="0"/>
    </xf>
    <xf borderId="4" fillId="0" fontId="16" numFmtId="0" xfId="0" applyAlignment="1" applyBorder="1" applyFont="1">
      <alignment shrinkToFit="0" vertical="bottom" wrapText="0"/>
    </xf>
    <xf borderId="5" fillId="8" fontId="14" numFmtId="0" xfId="0" applyAlignment="1" applyBorder="1" applyFont="1">
      <alignment horizontal="right" shrinkToFit="0" vertical="center" wrapText="0"/>
    </xf>
    <xf borderId="4" fillId="8" fontId="14" numFmtId="164" xfId="0" applyAlignment="1" applyBorder="1" applyFont="1" applyNumberFormat="1">
      <alignment horizontal="right" shrinkToFit="0" vertical="bottom" wrapText="0"/>
    </xf>
    <xf borderId="4" fillId="8" fontId="16" numFmtId="0" xfId="0" applyAlignment="1" applyBorder="1" applyFont="1">
      <alignment shrinkToFit="0" vertical="bottom" wrapText="0"/>
    </xf>
    <xf borderId="7" fillId="7" fontId="12" numFmtId="0" xfId="0" applyAlignment="1" applyBorder="1" applyFont="1">
      <alignment horizontal="right" shrinkToFit="0" vertical="center" wrapText="0"/>
    </xf>
    <xf borderId="10" fillId="7" fontId="18" numFmtId="164" xfId="0" applyAlignment="1" applyBorder="1" applyFont="1" applyNumberFormat="1">
      <alignment horizontal="right" shrinkToFit="0" vertical="center" wrapText="0"/>
    </xf>
    <xf borderId="10" fillId="7" fontId="19" numFmtId="0" xfId="0" applyAlignment="1" applyBorder="1" applyFont="1">
      <alignment horizontal="left" shrinkToFit="0" vertical="center" wrapText="0"/>
    </xf>
    <xf borderId="5" fillId="11" fontId="20" numFmtId="0" xfId="0" applyAlignment="1" applyBorder="1" applyFill="1" applyFont="1">
      <alignment horizontal="right" shrinkToFit="0" vertical="center" wrapText="0"/>
    </xf>
    <xf borderId="4" fillId="11" fontId="21" numFmtId="164" xfId="0" applyAlignment="1" applyBorder="1" applyFont="1" applyNumberFormat="1">
      <alignment horizontal="right" shrinkToFit="0" vertical="bottom" wrapText="0"/>
    </xf>
    <xf borderId="4" fillId="11" fontId="1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46.29"/>
    <col customWidth="1" min="4" max="4" width="25.86"/>
    <col customWidth="1" min="5" max="5" width="8.0"/>
    <col customWidth="1" min="6" max="7" width="14.0"/>
    <col customWidth="1" min="8" max="8" width="67.29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I1" s="4"/>
    </row>
    <row r="2" ht="18.0" customHeight="1">
      <c r="A2" s="5" t="s">
        <v>1</v>
      </c>
    </row>
    <row r="3" ht="21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8"/>
    </row>
    <row r="4" ht="18.0" customHeight="1">
      <c r="A4" s="9" t="s">
        <v>10</v>
      </c>
      <c r="B4" s="2"/>
      <c r="C4" s="2"/>
      <c r="D4" s="2"/>
      <c r="E4" s="2"/>
      <c r="F4" s="2"/>
      <c r="G4" s="2"/>
      <c r="H4" s="3"/>
      <c r="I4" s="10"/>
    </row>
    <row r="5" ht="19.5" customHeight="1">
      <c r="A5" s="11">
        <v>1.0</v>
      </c>
      <c r="B5" s="12" t="s">
        <v>11</v>
      </c>
      <c r="C5" s="13" t="s">
        <v>12</v>
      </c>
      <c r="D5" s="14" t="s">
        <v>13</v>
      </c>
      <c r="E5" s="11">
        <v>2.0</v>
      </c>
      <c r="F5" s="15">
        <v>35.0</v>
      </c>
      <c r="G5" s="16">
        <f t="shared" ref="G5:G6" si="1">E5*F5</f>
        <v>70</v>
      </c>
      <c r="H5" s="17" t="s">
        <v>14</v>
      </c>
      <c r="I5" s="18" t="b">
        <v>0</v>
      </c>
    </row>
    <row r="6" ht="19.5" customHeight="1">
      <c r="A6" s="19">
        <v>2.0</v>
      </c>
      <c r="B6" s="20" t="s">
        <v>15</v>
      </c>
      <c r="C6" s="21" t="s">
        <v>16</v>
      </c>
      <c r="D6" s="22" t="s">
        <v>17</v>
      </c>
      <c r="E6" s="19">
        <v>1.0</v>
      </c>
      <c r="F6" s="23">
        <v>450.0</v>
      </c>
      <c r="G6" s="24">
        <f t="shared" si="1"/>
        <v>450</v>
      </c>
      <c r="H6" s="25" t="s">
        <v>18</v>
      </c>
      <c r="I6" s="18" t="b">
        <v>0</v>
      </c>
    </row>
    <row r="7" ht="18.0" customHeight="1">
      <c r="A7" s="9" t="s">
        <v>19</v>
      </c>
      <c r="B7" s="2"/>
      <c r="C7" s="2"/>
      <c r="D7" s="2"/>
      <c r="E7" s="2"/>
      <c r="F7" s="2"/>
      <c r="G7" s="2"/>
      <c r="H7" s="3"/>
      <c r="I7" s="10"/>
    </row>
    <row r="8" ht="19.5" customHeight="1">
      <c r="A8" s="11">
        <v>3.0</v>
      </c>
      <c r="B8" s="12" t="s">
        <v>20</v>
      </c>
      <c r="C8" s="13" t="s">
        <v>21</v>
      </c>
      <c r="D8" s="26" t="s">
        <v>22</v>
      </c>
      <c r="E8" s="11">
        <v>2.0</v>
      </c>
      <c r="F8" s="15">
        <v>30.0</v>
      </c>
      <c r="G8" s="27">
        <f t="shared" ref="G8:G11" si="2">E8*F8</f>
        <v>60</v>
      </c>
      <c r="H8" s="17" t="s">
        <v>23</v>
      </c>
      <c r="I8" s="18" t="b">
        <v>1</v>
      </c>
    </row>
    <row r="9" ht="19.5" customHeight="1">
      <c r="A9" s="19">
        <v>4.0</v>
      </c>
      <c r="B9" s="20" t="s">
        <v>24</v>
      </c>
      <c r="C9" s="21" t="s">
        <v>25</v>
      </c>
      <c r="D9" s="22" t="s">
        <v>26</v>
      </c>
      <c r="E9" s="19">
        <v>2.0</v>
      </c>
      <c r="F9" s="23">
        <v>25.0</v>
      </c>
      <c r="G9" s="28">
        <f t="shared" si="2"/>
        <v>50</v>
      </c>
      <c r="H9" s="25" t="s">
        <v>27</v>
      </c>
      <c r="I9" s="18" t="b">
        <v>1</v>
      </c>
    </row>
    <row r="10" ht="19.5" customHeight="1">
      <c r="A10" s="11">
        <v>5.0</v>
      </c>
      <c r="B10" s="12" t="s">
        <v>28</v>
      </c>
      <c r="C10" s="13" t="s">
        <v>29</v>
      </c>
      <c r="D10" s="14" t="s">
        <v>30</v>
      </c>
      <c r="E10" s="11">
        <v>2.0</v>
      </c>
      <c r="F10" s="15">
        <v>20.0</v>
      </c>
      <c r="G10" s="27">
        <f t="shared" si="2"/>
        <v>40</v>
      </c>
      <c r="H10" s="17" t="s">
        <v>31</v>
      </c>
      <c r="I10" s="18" t="b">
        <v>0</v>
      </c>
    </row>
    <row r="11" ht="19.5" customHeight="1">
      <c r="A11" s="19">
        <v>6.0</v>
      </c>
      <c r="B11" s="20" t="s">
        <v>32</v>
      </c>
      <c r="C11" s="21" t="s">
        <v>33</v>
      </c>
      <c r="D11" s="22" t="s">
        <v>34</v>
      </c>
      <c r="E11" s="19">
        <v>1.0</v>
      </c>
      <c r="F11" s="23">
        <v>20.0</v>
      </c>
      <c r="G11" s="28">
        <f t="shared" si="2"/>
        <v>20</v>
      </c>
      <c r="H11" s="25" t="s">
        <v>35</v>
      </c>
      <c r="I11" s="18" t="b">
        <v>1</v>
      </c>
    </row>
    <row r="12" ht="18.0" customHeight="1">
      <c r="A12" s="9" t="s">
        <v>36</v>
      </c>
      <c r="B12" s="2"/>
      <c r="C12" s="2"/>
      <c r="D12" s="2"/>
      <c r="E12" s="2"/>
      <c r="F12" s="2"/>
      <c r="G12" s="2"/>
      <c r="H12" s="3"/>
      <c r="I12" s="10"/>
    </row>
    <row r="13" ht="19.5" customHeight="1">
      <c r="A13" s="11">
        <v>7.0</v>
      </c>
      <c r="B13" s="12" t="s">
        <v>37</v>
      </c>
      <c r="C13" s="13" t="s">
        <v>38</v>
      </c>
      <c r="D13" s="14" t="s">
        <v>39</v>
      </c>
      <c r="E13" s="11">
        <v>1.0</v>
      </c>
      <c r="F13" s="15">
        <v>120.0</v>
      </c>
      <c r="G13" s="27">
        <f>E13*F13</f>
        <v>120</v>
      </c>
      <c r="H13" s="17" t="s">
        <v>40</v>
      </c>
      <c r="I13" s="18" t="b">
        <v>0</v>
      </c>
    </row>
    <row r="14" ht="18.0" customHeight="1">
      <c r="A14" s="9" t="s">
        <v>41</v>
      </c>
      <c r="B14" s="2"/>
      <c r="C14" s="2"/>
      <c r="D14" s="2"/>
      <c r="E14" s="2"/>
      <c r="F14" s="2"/>
      <c r="G14" s="2"/>
      <c r="H14" s="3"/>
      <c r="I14" s="10"/>
    </row>
    <row r="15" ht="19.5" customHeight="1">
      <c r="A15" s="11">
        <v>8.0</v>
      </c>
      <c r="B15" s="12" t="s">
        <v>42</v>
      </c>
      <c r="C15" s="13" t="s">
        <v>43</v>
      </c>
      <c r="D15" s="14" t="s">
        <v>44</v>
      </c>
      <c r="E15" s="11">
        <v>1.0</v>
      </c>
      <c r="F15" s="15">
        <v>30.0</v>
      </c>
      <c r="G15" s="27">
        <f t="shared" ref="G15:G17" si="3">E15*F15</f>
        <v>30</v>
      </c>
      <c r="H15" s="17" t="s">
        <v>45</v>
      </c>
      <c r="I15" s="18" t="b">
        <v>1</v>
      </c>
    </row>
    <row r="16" ht="19.5" customHeight="1">
      <c r="A16" s="19">
        <v>9.0</v>
      </c>
      <c r="B16" s="20" t="s">
        <v>46</v>
      </c>
      <c r="C16" s="21" t="s">
        <v>47</v>
      </c>
      <c r="D16" s="22" t="s">
        <v>48</v>
      </c>
      <c r="E16" s="19">
        <v>1.0</v>
      </c>
      <c r="F16" s="23">
        <v>45.0</v>
      </c>
      <c r="G16" s="28">
        <f t="shared" si="3"/>
        <v>45</v>
      </c>
      <c r="H16" s="25" t="s">
        <v>49</v>
      </c>
      <c r="I16" s="18" t="b">
        <v>0</v>
      </c>
    </row>
    <row r="17" ht="19.5" customHeight="1">
      <c r="A17" s="11">
        <v>10.0</v>
      </c>
      <c r="B17" s="12" t="s">
        <v>50</v>
      </c>
      <c r="C17" s="13" t="s">
        <v>51</v>
      </c>
      <c r="D17" s="14" t="s">
        <v>52</v>
      </c>
      <c r="E17" s="11">
        <v>1.0</v>
      </c>
      <c r="F17" s="15">
        <v>35.0</v>
      </c>
      <c r="G17" s="27">
        <f t="shared" si="3"/>
        <v>35</v>
      </c>
      <c r="H17" s="17" t="s">
        <v>53</v>
      </c>
      <c r="I17" s="18" t="b">
        <v>1</v>
      </c>
    </row>
    <row r="18" ht="18.0" customHeight="1">
      <c r="A18" s="9" t="s">
        <v>54</v>
      </c>
      <c r="B18" s="2"/>
      <c r="C18" s="2"/>
      <c r="D18" s="2"/>
      <c r="E18" s="2"/>
      <c r="F18" s="2"/>
      <c r="G18" s="2"/>
      <c r="H18" s="3"/>
      <c r="I18" s="10"/>
    </row>
    <row r="19" ht="19.5" customHeight="1">
      <c r="A19" s="11">
        <v>11.0</v>
      </c>
      <c r="B19" s="12" t="s">
        <v>55</v>
      </c>
      <c r="C19" s="13" t="s">
        <v>56</v>
      </c>
      <c r="D19" s="14" t="s">
        <v>57</v>
      </c>
      <c r="E19" s="11">
        <v>1.0</v>
      </c>
      <c r="F19" s="15">
        <v>30.0</v>
      </c>
      <c r="G19" s="27">
        <f t="shared" ref="G19:G23" si="4">E19*F19</f>
        <v>30</v>
      </c>
      <c r="H19" s="17" t="s">
        <v>58</v>
      </c>
      <c r="I19" s="18" t="b">
        <v>0</v>
      </c>
    </row>
    <row r="20" ht="19.5" customHeight="1">
      <c r="A20" s="19">
        <v>12.0</v>
      </c>
      <c r="B20" s="20" t="s">
        <v>59</v>
      </c>
      <c r="C20" s="21" t="s">
        <v>60</v>
      </c>
      <c r="D20" s="22" t="s">
        <v>61</v>
      </c>
      <c r="E20" s="19">
        <v>1.0</v>
      </c>
      <c r="F20" s="23">
        <v>40.0</v>
      </c>
      <c r="G20" s="28">
        <f t="shared" si="4"/>
        <v>40</v>
      </c>
      <c r="H20" s="25" t="s">
        <v>62</v>
      </c>
      <c r="I20" s="18" t="b">
        <v>0</v>
      </c>
    </row>
    <row r="21" ht="19.5" customHeight="1">
      <c r="A21" s="11">
        <v>13.0</v>
      </c>
      <c r="B21" s="12" t="s">
        <v>63</v>
      </c>
      <c r="C21" s="13" t="s">
        <v>64</v>
      </c>
      <c r="D21" s="14" t="s">
        <v>65</v>
      </c>
      <c r="E21" s="11">
        <v>1.0</v>
      </c>
      <c r="F21" s="15">
        <v>60.0</v>
      </c>
      <c r="G21" s="27">
        <f t="shared" si="4"/>
        <v>60</v>
      </c>
      <c r="H21" s="17" t="s">
        <v>66</v>
      </c>
      <c r="I21" s="18" t="b">
        <v>0</v>
      </c>
    </row>
    <row r="22" ht="19.5" customHeight="1">
      <c r="A22" s="19">
        <v>14.0</v>
      </c>
      <c r="B22" s="20" t="s">
        <v>67</v>
      </c>
      <c r="C22" s="21" t="s">
        <v>68</v>
      </c>
      <c r="D22" s="22" t="s">
        <v>69</v>
      </c>
      <c r="E22" s="19">
        <v>1.0</v>
      </c>
      <c r="F22" s="23">
        <v>350.0</v>
      </c>
      <c r="G22" s="28">
        <f t="shared" si="4"/>
        <v>350</v>
      </c>
      <c r="H22" s="25" t="s">
        <v>70</v>
      </c>
      <c r="I22" s="18" t="b">
        <v>1</v>
      </c>
    </row>
    <row r="23" ht="21.75" customHeight="1">
      <c r="A23" s="19">
        <v>15.0</v>
      </c>
      <c r="B23" s="20" t="s">
        <v>71</v>
      </c>
      <c r="C23" s="21" t="s">
        <v>72</v>
      </c>
      <c r="D23" s="22" t="s">
        <v>73</v>
      </c>
      <c r="E23" s="19">
        <v>1.0</v>
      </c>
      <c r="F23" s="23">
        <v>100.0</v>
      </c>
      <c r="G23" s="28">
        <f t="shared" si="4"/>
        <v>100</v>
      </c>
      <c r="H23" s="25" t="s">
        <v>74</v>
      </c>
      <c r="I23" s="18" t="b">
        <v>0</v>
      </c>
    </row>
    <row r="24" ht="15.75" customHeight="1">
      <c r="A24" s="29" t="s">
        <v>75</v>
      </c>
      <c r="B24" s="30"/>
      <c r="C24" s="30"/>
      <c r="D24" s="30"/>
      <c r="E24" s="30"/>
      <c r="F24" s="31"/>
      <c r="G24" s="32">
        <f>SUM('Página de Calculo'!A1:A19)</f>
        <v>955</v>
      </c>
      <c r="H24" s="33" t="s">
        <v>76</v>
      </c>
      <c r="I24" s="32"/>
    </row>
    <row r="25" ht="18.0" customHeight="1">
      <c r="A25" s="34" t="s">
        <v>77</v>
      </c>
      <c r="B25" s="2"/>
      <c r="C25" s="2"/>
      <c r="D25" s="2"/>
      <c r="E25" s="2"/>
      <c r="F25" s="2"/>
      <c r="G25" s="2"/>
      <c r="H25" s="3"/>
      <c r="I25" s="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4:F24"/>
    <mergeCell ref="A25:H25"/>
    <mergeCell ref="A1:H1"/>
    <mergeCell ref="A2:H2"/>
    <mergeCell ref="A4:H4"/>
    <mergeCell ref="A7:H7"/>
    <mergeCell ref="A12:H12"/>
    <mergeCell ref="A14:H14"/>
    <mergeCell ref="A18:H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>
        <f>IF('Lista de Materiais'!I5 = FALSE, 'Lista de Materiais'!G5, 0)</f>
        <v>70</v>
      </c>
    </row>
    <row r="2">
      <c r="A2" s="36">
        <f>IF('Lista de Materiais'!I6 = FALSE, 'Lista de Materiais'!G6, 0)</f>
        <v>450</v>
      </c>
    </row>
    <row r="3">
      <c r="A3" s="18" t="str">
        <f>IF('Lista de Materiais'!I7 = FALSE, 'Lista de Materiais'!G7, 0)</f>
        <v/>
      </c>
    </row>
    <row r="4">
      <c r="A4" s="18">
        <f>IF('Lista de Materiais'!I8 = FALSE, 'Lista de Materiais'!G8, 0)</f>
        <v>0</v>
      </c>
    </row>
    <row r="5">
      <c r="A5" s="18">
        <f>IF('Lista de Materiais'!I9 = FALSE, 'Lista de Materiais'!G9, 0)</f>
        <v>0</v>
      </c>
    </row>
    <row r="6">
      <c r="A6" s="36">
        <f>IF('Lista de Materiais'!I10 = FALSE, 'Lista de Materiais'!G10, 0)</f>
        <v>40</v>
      </c>
    </row>
    <row r="7">
      <c r="A7" s="18">
        <f>IF('Lista de Materiais'!I11 = FALSE, 'Lista de Materiais'!G11, 0)</f>
        <v>0</v>
      </c>
    </row>
    <row r="8">
      <c r="A8" s="18" t="str">
        <f>IF('Lista de Materiais'!I12 = FALSE, 'Lista de Materiais'!G12, 0)</f>
        <v/>
      </c>
    </row>
    <row r="9">
      <c r="A9" s="36">
        <f>IF('Lista de Materiais'!I13 = FALSE, 'Lista de Materiais'!G13, 0)</f>
        <v>120</v>
      </c>
    </row>
    <row r="10">
      <c r="A10" s="18" t="str">
        <f>IF('Lista de Materiais'!I14 = FALSE, 'Lista de Materiais'!G14, 0)</f>
        <v/>
      </c>
    </row>
    <row r="11">
      <c r="A11" s="18">
        <f>IF('Lista de Materiais'!I15 = FALSE, 'Lista de Materiais'!G15, 0)</f>
        <v>0</v>
      </c>
    </row>
    <row r="12">
      <c r="A12" s="36">
        <f>IF('Lista de Materiais'!I16 = FALSE, 'Lista de Materiais'!G16, 0)</f>
        <v>45</v>
      </c>
    </row>
    <row r="13">
      <c r="A13" s="18">
        <f>IF('Lista de Materiais'!I17 = FALSE, 'Lista de Materiais'!G17, 0)</f>
        <v>0</v>
      </c>
    </row>
    <row r="14">
      <c r="A14" s="18" t="str">
        <f>IF('Lista de Materiais'!I18 = FALSE, 'Lista de Materiais'!G18, 0)</f>
        <v/>
      </c>
    </row>
    <row r="15">
      <c r="A15" s="36">
        <f>IF('Lista de Materiais'!I19 = FALSE, 'Lista de Materiais'!G19, 0)</f>
        <v>30</v>
      </c>
    </row>
    <row r="16">
      <c r="A16" s="36">
        <f>IF('Lista de Materiais'!I20 = FALSE, 'Lista de Materiais'!G20, 0)</f>
        <v>40</v>
      </c>
    </row>
    <row r="17">
      <c r="A17" s="36">
        <f>IF('Lista de Materiais'!I21 = FALSE, 'Lista de Materiais'!G21, 0)</f>
        <v>60</v>
      </c>
    </row>
    <row r="18">
      <c r="A18" s="18">
        <f>IF('Lista de Materiais'!I22 = FALSE, 'Lista de Materiais'!G22, 0)</f>
        <v>0</v>
      </c>
    </row>
    <row r="19">
      <c r="A19" s="36">
        <f>IF('Lista de Materiais'!I23 = FALSE, 'Lista de Materiais'!G23, 0)</f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3.43"/>
    <col customWidth="1" min="3" max="3" width="42.0"/>
    <col customWidth="1" min="4" max="6" width="16.0"/>
    <col customWidth="1" min="7" max="7" width="50.29"/>
    <col customWidth="1" min="8" max="26" width="8.71"/>
  </cols>
  <sheetData>
    <row r="1" ht="30.0" customHeight="1">
      <c r="A1" s="1" t="s">
        <v>78</v>
      </c>
      <c r="B1" s="2"/>
      <c r="C1" s="2"/>
      <c r="D1" s="2"/>
      <c r="E1" s="2"/>
      <c r="F1" s="2"/>
      <c r="G1" s="3"/>
    </row>
    <row r="2" ht="18.0" customHeight="1">
      <c r="A2" s="5" t="s">
        <v>79</v>
      </c>
    </row>
    <row r="3" ht="21.75" customHeight="1">
      <c r="A3" s="6" t="s">
        <v>2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</v>
      </c>
      <c r="G3" s="6" t="s">
        <v>9</v>
      </c>
    </row>
    <row r="4" ht="18.0" customHeight="1">
      <c r="A4" s="9" t="s">
        <v>84</v>
      </c>
      <c r="B4" s="2"/>
      <c r="C4" s="2"/>
      <c r="D4" s="2"/>
      <c r="E4" s="2"/>
      <c r="F4" s="2"/>
      <c r="G4" s="3"/>
    </row>
    <row r="5">
      <c r="A5" s="11">
        <v>1.0</v>
      </c>
      <c r="B5" s="12" t="s">
        <v>85</v>
      </c>
      <c r="C5" s="13" t="s">
        <v>86</v>
      </c>
      <c r="D5" s="15">
        <v>535.0</v>
      </c>
      <c r="E5" s="11">
        <v>1.0</v>
      </c>
      <c r="F5" s="27">
        <f t="shared" ref="F5:F9" si="1">D5*E5</f>
        <v>535</v>
      </c>
      <c r="G5" s="17" t="s">
        <v>87</v>
      </c>
    </row>
    <row r="6">
      <c r="A6" s="19">
        <v>2.0</v>
      </c>
      <c r="B6" s="20" t="s">
        <v>88</v>
      </c>
      <c r="C6" s="21" t="s">
        <v>89</v>
      </c>
      <c r="D6" s="23">
        <v>170.0</v>
      </c>
      <c r="E6" s="19">
        <v>1.0</v>
      </c>
      <c r="F6" s="28">
        <f t="shared" si="1"/>
        <v>170</v>
      </c>
      <c r="G6" s="25" t="s">
        <v>90</v>
      </c>
    </row>
    <row r="7">
      <c r="A7" s="11">
        <v>3.0</v>
      </c>
      <c r="B7" s="12" t="s">
        <v>91</v>
      </c>
      <c r="C7" s="13" t="s">
        <v>92</v>
      </c>
      <c r="D7" s="15">
        <v>120.0</v>
      </c>
      <c r="E7" s="11">
        <v>1.0</v>
      </c>
      <c r="F7" s="27">
        <f t="shared" si="1"/>
        <v>120</v>
      </c>
      <c r="G7" s="17" t="s">
        <v>93</v>
      </c>
    </row>
    <row r="8" ht="19.5" customHeight="1">
      <c r="A8" s="19">
        <v>4.0</v>
      </c>
      <c r="B8" s="20" t="s">
        <v>94</v>
      </c>
      <c r="C8" s="21" t="s">
        <v>95</v>
      </c>
      <c r="D8" s="23">
        <v>110.0</v>
      </c>
      <c r="E8" s="19">
        <v>1.0</v>
      </c>
      <c r="F8" s="28">
        <f t="shared" si="1"/>
        <v>110</v>
      </c>
      <c r="G8" s="25" t="s">
        <v>96</v>
      </c>
    </row>
    <row r="9" ht="19.5" customHeight="1">
      <c r="A9" s="11">
        <v>5.0</v>
      </c>
      <c r="B9" s="12" t="s">
        <v>97</v>
      </c>
      <c r="C9" s="13" t="s">
        <v>98</v>
      </c>
      <c r="D9" s="15">
        <v>480.0</v>
      </c>
      <c r="E9" s="11">
        <v>1.0</v>
      </c>
      <c r="F9" s="27">
        <f t="shared" si="1"/>
        <v>480</v>
      </c>
      <c r="G9" s="17" t="s">
        <v>99</v>
      </c>
    </row>
    <row r="10">
      <c r="A10" s="37" t="s">
        <v>100</v>
      </c>
      <c r="B10" s="2"/>
      <c r="C10" s="2"/>
      <c r="D10" s="2"/>
      <c r="E10" s="38"/>
      <c r="F10" s="39">
        <f>SUM(F5:F9)</f>
        <v>1415</v>
      </c>
      <c r="G10" s="40"/>
    </row>
    <row r="12" ht="18.0" customHeight="1">
      <c r="A12" s="9" t="s">
        <v>101</v>
      </c>
      <c r="B12" s="2"/>
      <c r="C12" s="2"/>
      <c r="D12" s="2"/>
      <c r="E12" s="2"/>
      <c r="F12" s="2"/>
      <c r="G12" s="3"/>
    </row>
    <row r="13">
      <c r="A13" s="11">
        <v>6.0</v>
      </c>
      <c r="B13" s="12" t="s">
        <v>102</v>
      </c>
      <c r="C13" s="13" t="s">
        <v>103</v>
      </c>
      <c r="D13" s="15">
        <v>8250.0</v>
      </c>
      <c r="E13" s="11">
        <v>1.0</v>
      </c>
      <c r="F13" s="27">
        <f t="shared" ref="F13:F18" si="2">D13*E13</f>
        <v>8250</v>
      </c>
      <c r="G13" s="17" t="s">
        <v>104</v>
      </c>
    </row>
    <row r="14">
      <c r="A14" s="19">
        <v>7.0</v>
      </c>
      <c r="B14" s="20" t="s">
        <v>105</v>
      </c>
      <c r="C14" s="21" t="s">
        <v>106</v>
      </c>
      <c r="D14" s="23">
        <v>4400.0</v>
      </c>
      <c r="E14" s="19">
        <v>1.0</v>
      </c>
      <c r="F14" s="28">
        <f t="shared" si="2"/>
        <v>4400</v>
      </c>
      <c r="G14" s="25" t="s">
        <v>107</v>
      </c>
    </row>
    <row r="15" ht="19.5" customHeight="1">
      <c r="A15" s="11">
        <v>8.0</v>
      </c>
      <c r="B15" s="12" t="s">
        <v>108</v>
      </c>
      <c r="C15" s="13" t="s">
        <v>109</v>
      </c>
      <c r="D15" s="15">
        <v>3300.0</v>
      </c>
      <c r="E15" s="11">
        <v>1.0</v>
      </c>
      <c r="F15" s="27">
        <f t="shared" si="2"/>
        <v>3300</v>
      </c>
      <c r="G15" s="17" t="s">
        <v>110</v>
      </c>
    </row>
    <row r="16" ht="19.5" customHeight="1">
      <c r="A16" s="19">
        <v>9.0</v>
      </c>
      <c r="B16" s="20" t="s">
        <v>111</v>
      </c>
      <c r="C16" s="21" t="s">
        <v>112</v>
      </c>
      <c r="D16" s="23">
        <v>2200.0</v>
      </c>
      <c r="E16" s="19">
        <v>1.0</v>
      </c>
      <c r="F16" s="28">
        <f t="shared" si="2"/>
        <v>2200</v>
      </c>
      <c r="G16" s="25" t="s">
        <v>113</v>
      </c>
    </row>
    <row r="17" ht="19.5" customHeight="1">
      <c r="A17" s="11">
        <v>10.0</v>
      </c>
      <c r="B17" s="12" t="s">
        <v>114</v>
      </c>
      <c r="C17" s="13" t="s">
        <v>115</v>
      </c>
      <c r="D17" s="15">
        <v>3850.0</v>
      </c>
      <c r="E17" s="11">
        <v>1.0</v>
      </c>
      <c r="F17" s="27">
        <f t="shared" si="2"/>
        <v>3850</v>
      </c>
      <c r="G17" s="17" t="s">
        <v>116</v>
      </c>
    </row>
    <row r="18" ht="19.5" customHeight="1">
      <c r="A18" s="19">
        <v>11.0</v>
      </c>
      <c r="B18" s="20" t="s">
        <v>117</v>
      </c>
      <c r="C18" s="21" t="s">
        <v>118</v>
      </c>
      <c r="D18" s="23">
        <v>1650.0</v>
      </c>
      <c r="E18" s="19">
        <v>1.0</v>
      </c>
      <c r="F18" s="28">
        <f t="shared" si="2"/>
        <v>1650</v>
      </c>
      <c r="G18" s="25" t="s">
        <v>119</v>
      </c>
    </row>
    <row r="19">
      <c r="A19" s="37" t="s">
        <v>120</v>
      </c>
      <c r="B19" s="2"/>
      <c r="C19" s="2"/>
      <c r="D19" s="2"/>
      <c r="E19" s="38"/>
      <c r="F19" s="39">
        <f>SUM(F13:F18)</f>
        <v>23650</v>
      </c>
      <c r="G19" s="40"/>
    </row>
    <row r="21" ht="18.0" customHeight="1">
      <c r="A21" s="9" t="s">
        <v>121</v>
      </c>
      <c r="B21" s="2"/>
      <c r="C21" s="2"/>
      <c r="D21" s="2"/>
      <c r="E21" s="2"/>
      <c r="F21" s="2"/>
      <c r="G21" s="3"/>
    </row>
    <row r="22" ht="19.5" customHeight="1">
      <c r="A22" s="11">
        <v>12.0</v>
      </c>
      <c r="B22" s="12" t="s">
        <v>122</v>
      </c>
      <c r="C22" s="13" t="s">
        <v>123</v>
      </c>
      <c r="D22" s="15">
        <v>200.0</v>
      </c>
      <c r="E22" s="11">
        <v>1.0</v>
      </c>
      <c r="F22" s="27">
        <f t="shared" ref="F22:F25" si="3">D22*E22</f>
        <v>200</v>
      </c>
      <c r="G22" s="17" t="s">
        <v>124</v>
      </c>
    </row>
    <row r="23" ht="19.5" customHeight="1">
      <c r="A23" s="19">
        <v>13.0</v>
      </c>
      <c r="B23" s="20" t="s">
        <v>125</v>
      </c>
      <c r="C23" s="21" t="s">
        <v>126</v>
      </c>
      <c r="D23" s="23">
        <v>150.0</v>
      </c>
      <c r="E23" s="19">
        <v>1.0</v>
      </c>
      <c r="F23" s="28">
        <f t="shared" si="3"/>
        <v>150</v>
      </c>
      <c r="G23" s="25" t="s">
        <v>127</v>
      </c>
    </row>
    <row r="24" ht="19.5" customHeight="1">
      <c r="A24" s="11">
        <v>14.0</v>
      </c>
      <c r="B24" s="12" t="s">
        <v>128</v>
      </c>
      <c r="C24" s="13" t="s">
        <v>129</v>
      </c>
      <c r="D24" s="15">
        <v>50.0</v>
      </c>
      <c r="E24" s="11">
        <v>1.0</v>
      </c>
      <c r="F24" s="27">
        <f t="shared" si="3"/>
        <v>50</v>
      </c>
      <c r="G24" s="17" t="s">
        <v>130</v>
      </c>
    </row>
    <row r="25" ht="19.5" customHeight="1">
      <c r="A25" s="19">
        <v>15.0</v>
      </c>
      <c r="B25" s="20" t="s">
        <v>131</v>
      </c>
      <c r="C25" s="21" t="s">
        <v>132</v>
      </c>
      <c r="D25" s="23">
        <v>60.0</v>
      </c>
      <c r="E25" s="19">
        <v>1.0</v>
      </c>
      <c r="F25" s="28">
        <f t="shared" si="3"/>
        <v>60</v>
      </c>
      <c r="G25" s="25" t="s">
        <v>133</v>
      </c>
    </row>
    <row r="26" ht="15.75" customHeight="1">
      <c r="A26" s="37" t="s">
        <v>134</v>
      </c>
      <c r="B26" s="2"/>
      <c r="C26" s="2"/>
      <c r="D26" s="2"/>
      <c r="E26" s="38"/>
      <c r="F26" s="39">
        <f>SUM(F22:F25)</f>
        <v>460</v>
      </c>
      <c r="G26" s="40"/>
    </row>
    <row r="27" ht="15.75" customHeight="1"/>
    <row r="28" ht="18.0" customHeight="1">
      <c r="A28" s="9" t="s">
        <v>135</v>
      </c>
      <c r="B28" s="2"/>
      <c r="C28" s="2"/>
      <c r="D28" s="2"/>
      <c r="E28" s="2"/>
      <c r="F28" s="2"/>
      <c r="G28" s="3"/>
    </row>
    <row r="29" ht="19.5" customHeight="1">
      <c r="A29" s="11">
        <v>16.0</v>
      </c>
      <c r="B29" s="12" t="s">
        <v>136</v>
      </c>
      <c r="C29" s="13" t="s">
        <v>137</v>
      </c>
      <c r="D29" s="15">
        <v>1200.0</v>
      </c>
      <c r="E29" s="11">
        <v>1.0</v>
      </c>
      <c r="F29" s="27">
        <f t="shared" ref="F29:F33" si="4">D29*E29</f>
        <v>1200</v>
      </c>
      <c r="G29" s="17" t="s">
        <v>138</v>
      </c>
    </row>
    <row r="30" ht="19.5" customHeight="1">
      <c r="A30" s="19">
        <v>17.0</v>
      </c>
      <c r="B30" s="20" t="s">
        <v>139</v>
      </c>
      <c r="C30" s="21" t="s">
        <v>140</v>
      </c>
      <c r="D30" s="23">
        <v>1500.0</v>
      </c>
      <c r="E30" s="19">
        <v>1.0</v>
      </c>
      <c r="F30" s="28">
        <f t="shared" si="4"/>
        <v>1500</v>
      </c>
      <c r="G30" s="25" t="s">
        <v>141</v>
      </c>
    </row>
    <row r="31" ht="19.5" customHeight="1">
      <c r="A31" s="11">
        <v>18.0</v>
      </c>
      <c r="B31" s="12" t="s">
        <v>142</v>
      </c>
      <c r="C31" s="13" t="s">
        <v>143</v>
      </c>
      <c r="D31" s="15">
        <v>2000.0</v>
      </c>
      <c r="E31" s="11">
        <v>1.0</v>
      </c>
      <c r="F31" s="27">
        <f t="shared" si="4"/>
        <v>2000</v>
      </c>
      <c r="G31" s="17" t="s">
        <v>144</v>
      </c>
    </row>
    <row r="32" ht="19.5" customHeight="1">
      <c r="A32" s="19">
        <v>19.0</v>
      </c>
      <c r="B32" s="20" t="s">
        <v>145</v>
      </c>
      <c r="C32" s="21" t="s">
        <v>146</v>
      </c>
      <c r="D32" s="23">
        <v>1200.0</v>
      </c>
      <c r="E32" s="19">
        <v>1.0</v>
      </c>
      <c r="F32" s="28">
        <f t="shared" si="4"/>
        <v>1200</v>
      </c>
      <c r="G32" s="25" t="s">
        <v>147</v>
      </c>
    </row>
    <row r="33" ht="19.5" customHeight="1">
      <c r="A33" s="11">
        <v>20.0</v>
      </c>
      <c r="B33" s="12" t="s">
        <v>148</v>
      </c>
      <c r="C33" s="13" t="s">
        <v>149</v>
      </c>
      <c r="D33" s="15">
        <v>360.0</v>
      </c>
      <c r="E33" s="11">
        <v>1.0</v>
      </c>
      <c r="F33" s="27">
        <f t="shared" si="4"/>
        <v>360</v>
      </c>
      <c r="G33" s="17"/>
    </row>
    <row r="34" ht="15.75" customHeight="1">
      <c r="A34" s="37" t="s">
        <v>150</v>
      </c>
      <c r="B34" s="2"/>
      <c r="C34" s="2"/>
      <c r="D34" s="2"/>
      <c r="E34" s="38"/>
      <c r="F34" s="39">
        <f>SUM(F29:F33)</f>
        <v>6260</v>
      </c>
      <c r="G34" s="40"/>
    </row>
    <row r="35" ht="15.75" customHeight="1"/>
    <row r="36" ht="18.0" customHeight="1">
      <c r="A36" s="9" t="s">
        <v>151</v>
      </c>
      <c r="B36" s="2"/>
      <c r="C36" s="2"/>
      <c r="D36" s="2"/>
      <c r="E36" s="2"/>
      <c r="F36" s="2"/>
      <c r="G36" s="3"/>
    </row>
    <row r="37" ht="19.5" customHeight="1">
      <c r="A37" s="11">
        <v>21.0</v>
      </c>
      <c r="B37" s="12" t="s">
        <v>152</v>
      </c>
      <c r="C37" s="13" t="s">
        <v>153</v>
      </c>
      <c r="D37" s="15">
        <v>1200.0</v>
      </c>
      <c r="E37" s="11">
        <v>1.0</v>
      </c>
      <c r="F37" s="27">
        <f t="shared" ref="F37:F38" si="5">D37*E37</f>
        <v>1200</v>
      </c>
      <c r="G37" s="17"/>
    </row>
    <row r="38" ht="19.5" customHeight="1">
      <c r="A38" s="19">
        <v>22.0</v>
      </c>
      <c r="B38" s="20" t="s">
        <v>154</v>
      </c>
      <c r="C38" s="21" t="s">
        <v>155</v>
      </c>
      <c r="D38" s="23">
        <v>800.0</v>
      </c>
      <c r="E38" s="19">
        <v>1.0</v>
      </c>
      <c r="F38" s="28">
        <f t="shared" si="5"/>
        <v>800</v>
      </c>
      <c r="G38" s="25" t="s">
        <v>156</v>
      </c>
    </row>
    <row r="39" ht="15.75" customHeight="1">
      <c r="A39" s="37" t="s">
        <v>157</v>
      </c>
      <c r="B39" s="2"/>
      <c r="C39" s="2"/>
      <c r="D39" s="2"/>
      <c r="E39" s="38"/>
      <c r="F39" s="39">
        <f>SUM(F37:F38)</f>
        <v>2000</v>
      </c>
      <c r="G39" s="40"/>
    </row>
    <row r="40" ht="15.75" customHeight="1"/>
    <row r="41" ht="21.75" customHeight="1">
      <c r="A41" s="41" t="s">
        <v>158</v>
      </c>
      <c r="B41" s="2"/>
      <c r="C41" s="2"/>
      <c r="D41" s="2"/>
      <c r="E41" s="2"/>
      <c r="F41" s="2"/>
      <c r="G41" s="3"/>
    </row>
    <row r="42" ht="18.75" customHeight="1">
      <c r="A42" s="42" t="s">
        <v>159</v>
      </c>
      <c r="B42" s="43"/>
      <c r="C42" s="43"/>
      <c r="D42" s="43"/>
      <c r="E42" s="44"/>
      <c r="F42" s="45">
        <f>F10</f>
        <v>1415</v>
      </c>
      <c r="G42" s="46"/>
    </row>
    <row r="43" ht="18.75" customHeight="1">
      <c r="A43" s="42" t="s">
        <v>160</v>
      </c>
      <c r="B43" s="43"/>
      <c r="C43" s="43"/>
      <c r="D43" s="43"/>
      <c r="E43" s="44"/>
      <c r="F43" s="45">
        <f>F19</f>
        <v>23650</v>
      </c>
      <c r="G43" s="46"/>
    </row>
    <row r="44" ht="18.75" customHeight="1">
      <c r="A44" s="42" t="s">
        <v>161</v>
      </c>
      <c r="B44" s="43"/>
      <c r="C44" s="43"/>
      <c r="D44" s="43"/>
      <c r="E44" s="44"/>
      <c r="F44" s="45">
        <f>F26*12</f>
        <v>5520</v>
      </c>
      <c r="G44" s="46"/>
    </row>
    <row r="45" ht="18.75" customHeight="1">
      <c r="A45" s="42" t="s">
        <v>162</v>
      </c>
      <c r="B45" s="43"/>
      <c r="C45" s="43"/>
      <c r="D45" s="43"/>
      <c r="E45" s="44"/>
      <c r="F45" s="45">
        <f>F34</f>
        <v>6260</v>
      </c>
      <c r="G45" s="46"/>
    </row>
    <row r="46" ht="18.75" customHeight="1">
      <c r="A46" s="42" t="s">
        <v>163</v>
      </c>
      <c r="B46" s="43"/>
      <c r="C46" s="43"/>
      <c r="D46" s="43"/>
      <c r="E46" s="44"/>
      <c r="F46" s="45">
        <f>F39</f>
        <v>2000</v>
      </c>
      <c r="G46" s="46"/>
    </row>
    <row r="47" ht="18.75" customHeight="1">
      <c r="A47" s="47" t="s">
        <v>164</v>
      </c>
      <c r="B47" s="43"/>
      <c r="C47" s="43"/>
      <c r="D47" s="43"/>
      <c r="E47" s="44"/>
      <c r="F47" s="48">
        <f>SUM(F42:F46)*0.1</f>
        <v>3884.5</v>
      </c>
      <c r="G47" s="49"/>
    </row>
    <row r="48" ht="25.5" customHeight="1">
      <c r="A48" s="50" t="s">
        <v>165</v>
      </c>
      <c r="B48" s="30"/>
      <c r="C48" s="30"/>
      <c r="D48" s="30"/>
      <c r="E48" s="31"/>
      <c r="F48" s="51">
        <f>SUM(F42:F46)+F47</f>
        <v>42729.5</v>
      </c>
      <c r="G48" s="52" t="s">
        <v>166</v>
      </c>
    </row>
    <row r="49" ht="18.75" customHeight="1">
      <c r="A49" s="53" t="s">
        <v>167</v>
      </c>
      <c r="B49" s="43"/>
      <c r="C49" s="43"/>
      <c r="D49" s="43"/>
      <c r="E49" s="44"/>
      <c r="F49" s="54">
        <f>60000-F48</f>
        <v>17270.5</v>
      </c>
      <c r="G49" s="5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G1"/>
    <mergeCell ref="A2:G2"/>
    <mergeCell ref="A4:G4"/>
    <mergeCell ref="A10:E10"/>
    <mergeCell ref="A12:G12"/>
    <mergeCell ref="A19:E19"/>
    <mergeCell ref="A21:G21"/>
    <mergeCell ref="A43:E43"/>
    <mergeCell ref="A44:E44"/>
    <mergeCell ref="A45:E45"/>
    <mergeCell ref="A46:E46"/>
    <mergeCell ref="A47:E47"/>
    <mergeCell ref="A48:E48"/>
    <mergeCell ref="A49:E49"/>
    <mergeCell ref="A26:E26"/>
    <mergeCell ref="A28:G28"/>
    <mergeCell ref="A34:E34"/>
    <mergeCell ref="A36:G36"/>
    <mergeCell ref="A39:E39"/>
    <mergeCell ref="A41:G41"/>
    <mergeCell ref="A42:E42"/>
  </mergeCells>
  <printOptions/>
  <pageMargins bottom="1.0" footer="0.0" header="0.0" left="0.75" right="0.75" top="1.0"/>
  <pageSetup paperSize="9" orientation="portrait"/>
  <drawing r:id="rId1"/>
</worksheet>
</file>